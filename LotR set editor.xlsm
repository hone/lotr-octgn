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xr:revisionPtr revIDLastSave="0" documentId="10_ncr:100000_{D162CAC9-B090-4260-B8DB-2B11683A7102}" xr6:coauthVersionLast="31" xr6:coauthVersionMax="31" xr10:uidLastSave="{00000000-0000-0000-0000-000000000000}"/>
  <bookViews>
    <workbookView xWindow="30" yWindow="60" windowWidth="28740" windowHeight="6405" firstSheet="3" activeTab="4" xr2:uid="{00000000-000D-0000-FFFF-FFFF00000000}"/>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9"/>
  <definedNames>
    <definedName name="GameGUID">Sets!$A$1</definedName>
    <definedName name="GameVersion">Sets!$C$1</definedName>
  </definedNames>
  <calcPr calcId="179017"/>
  <pivotCaches>
    <pivotCache cacheId="0" r:id="rId7"/>
  </pivotCaches>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<sst xmlns="http://schemas.openxmlformats.org/spreadsheetml/2006/main" count="1016" uniqueCount="142">
  <si>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</si>
  <si>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</si>
  <si>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</si>
  <si>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</si>
  <si>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</si>
  <si>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</si>
  <si>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</si>
  <si>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</si>
  <si>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</si>
  <si>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</si>
  <si>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</si>
  <si>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</si>
  <si>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</si>
  <si>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</si>
  <si>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</si>
  <si>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</si>
  <si>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</si>
  <si>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</si>
  <si>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</si>
  <si>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</si>
  <si>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</si>
  <si>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</si>
  <si>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</si>
  <si>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</si>
  <si>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</si>
  <si>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</si>
  <si>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</si>
  <si>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</si>
  <si>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</si>
  <si>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</si>
  <si>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</si>
  <si>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</si>
  <si>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</si>
  <si>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</si>
  <si>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</si>
  <si>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</si>
  <si>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</si>
  <si>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</si>
  <si>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</si>
  <si>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</si>
  <si>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</si>
  <si>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</si>
  <si>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</si>
  <si>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</si>
  <si>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</si>
  <si>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</si>
  <si>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</si>
  <si>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</si>
  <si>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</si>
  <si>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</si>
  <si>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</si>
  <si>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</si>
  <si>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</si>
  <si>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</si>
  <si>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</si>
  <si>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</si>
  <si>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</si>
  <si>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</si>
  <si>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</si>
  <si>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</si>
  <si>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</si>
  <si>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</si>
  <si>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</si>
  <si>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</si>
  <si>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</si>
  <si>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</si>
  <si>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</si>
  <si>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</si>
  <si>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</si>
  <si>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</si>
  <si>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</si>
  <si>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</si>
  <si>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</si>
  <si>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</si>
  <si>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</si>
  <si>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</si>
  <si>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</si>
  <si>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</si>
  <si>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</si>
  <si>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</si>
  <si>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</si>
  <si>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</si>
  <si>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</si>
  <si>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</si>
  <si>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</si>
  <si>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</si>
  <si>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</si>
  <si>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</si>
  <si>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</si>
  <si>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</si>
  <si>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</si>
  <si>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</si>
  <si>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</si>
  <si>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</si>
  <si>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</si>
  <si>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</si>
  <si>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</si>
  <si>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</si>
  <si>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</si>
  <si>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</si>
  <si>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</si>
  <si>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</si>
  <si>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</si>
  <si>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</si>
  <si>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</si>
  <si>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</si>
  <si>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</si>
  <si>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</si>
  <si>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</si>
  <si>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</si>
  <si>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</si>
  <si>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</si>
  <si>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</si>
  <si>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</si>
  <si>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</si>
  <si>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</si>
  <si>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</si>
  <si>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</si>
  <si>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</si>
  <si>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</si>
  <si>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</si>
  <si>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</si>
  <si>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</si>
  <si>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</si>
  <si>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</si>
  <si>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</si>
  <si>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</si>
  <si>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</si>
  <si>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</si>
  <si>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</si>
  <si>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</si>
  <si>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</si>
  <si>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</si>
  <si>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</si>
  <si>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</si>
  <si>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</si>
  <si>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</si>
  <si>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</si>
  <si>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</si>
  <si>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</si>
  <si>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My Custom Set</t>
  </si>
  <si>
    <t>00000000-05d1-4216-8c22-06dcc958e7a3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</si>
</sst>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6" fillId="0" borderId="0" xfId="0" applyNumberFormat="1" applyFont="1" applyAlignment="1">
      <alignment wrapText="1"/>
    </xf>
    <xf numFmtId="0" fontId="6" fillId="0" borderId="0" xfId="0" applyNumberFormat="1" applyFont="1" applyAlignment="1">
      <alignment horizontal="center"/>
    </xf>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Howard" refreshedDate="42063.572993865739" missingItemsLimit="0" createdVersion="3" refreshedVersion="5" minRefreshableVersion="3" recordCount="90" xr:uid="{00000000-000A-0000-FFFF-FFFF0000000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91" tableType="xml" totalsRowShown="0" connectionId="1">
  <autoFilter ref="A1:Q91" xr:uid="{00000000-0009-0000-0100-000001000000}"/>
  <tableColumns count="17">
    <tableColumn id="1" xr3:uid="{00000000-0010-0000-0000-000001000000}" uniqueName="name" name="name">
      <xmlColumnPr mapId="1" xpath="/set/@name" xmlDataType="string"/>
    </tableColumn>
    <tableColumn id="2" xr3:uid="{00000000-0010-0000-0000-000002000000}" uniqueName="id" name="id">
      <xmlColumnPr mapId="1" xpath="/set/@id" xmlDataType="string"/>
    </tableColumn>
    <tableColumn id="3" xr3:uid="{00000000-0010-0000-0000-000003000000}" uniqueName="gameId" name="gameId">
      <xmlColumnPr mapId="1" xpath="/set/@gameId" xmlDataType="string"/>
    </tableColumn>
    <tableColumn id="4" xr3:uid="{00000000-0010-0000-0000-000004000000}" uniqueName="gameVersion" name="gameVersion">
      <xmlColumnPr mapId="1" xpath="/set/@gameVersion" xmlDataType="string"/>
    </tableColumn>
    <tableColumn id="5" xr3:uid="{00000000-0010-0000-0000-000005000000}" uniqueName="version" name="version">
      <xmlColumnPr mapId="1" xpath="/set/@version" xmlDataType="string"/>
    </tableColumn>
    <tableColumn id="6" xr3:uid="{00000000-0010-0000-0000-000006000000}" uniqueName="id" name="id2">
      <xmlColumnPr mapId="1" xpath="/set/cards/card/@id" xmlDataType="string"/>
    </tableColumn>
    <tableColumn id="7" xr3:uid="{00000000-0010-0000-0000-000007000000}" uniqueName="name" name="name3">
      <xmlColumnPr mapId="1" xpath="/set/cards/card/@name" xmlDataType="string"/>
    </tableColumn>
    <tableColumn id="8" xr3:uid="{00000000-0010-0000-0000-000008000000}" uniqueName="name" name="name4">
      <xmlColumnPr mapId="1" xpath="/set/cards/card/property/@name" xmlDataType="string"/>
    </tableColumn>
    <tableColumn id="9" xr3:uid="{00000000-0010-0000-0000-000009000000}" uniqueName="value" name="value">
      <xmlColumnPr mapId="1" xpath="/set/cards/card/property/@value" xmlDataType="string"/>
    </tableColumn>
    <tableColumn id="10" xr3:uid="{00000000-0010-0000-0000-00000A000000}" uniqueName="name" name="name5">
      <xmlColumnPr mapId="1" xpath="/set/cards/card/alternate/@name" xmlDataType="string"/>
    </tableColumn>
    <tableColumn id="11" xr3:uid="{00000000-0010-0000-0000-00000B000000}" uniqueName="type" name="type">
      <xmlColumnPr mapId="1" xpath="/set/cards/card/alternate/@type" xmlDataType="string"/>
    </tableColumn>
    <tableColumn id="12" xr3:uid="{00000000-0010-0000-0000-00000C000000}" uniqueName="name" name="name6">
      <xmlColumnPr mapId="1" xpath="/set/cards/card/alternate/property/@name" xmlDataType="string"/>
    </tableColumn>
    <tableColumn id="13" xr3:uid="{00000000-0010-0000-0000-00000D000000}" uniqueName="value" name="value7">
      <xmlColumnPr mapId="1" xpath="/set/cards/card/alternate/property/@value" xmlDataType="string"/>
    </tableColumn>
    <tableColumn id="14" xr3:uid="{00000000-0010-0000-0000-00000E000000}" uniqueName="14" name="value8" dataDxfId="94">
      <calculatedColumnFormula>Table1[[#This Row],[id2]]&amp;Table1[[#This Row],[name4]]</calculatedColumnFormula>
    </tableColumn>
    <tableColumn id="15" xr3:uid="{00000000-0010-0000-0000-00000F000000}" uniqueName="15" name="value9" dataDxfId="93">
      <calculatedColumnFormula>IF(Table1[[#This Row],[value]]="","",Table1[[#This Row],[value]])</calculatedColumnFormula>
    </tableColumn>
    <tableColumn id="16" xr3:uid="{00000000-0010-0000-0000-000010000000}" uniqueName="16" name="value10" dataDxfId="92">
      <calculatedColumnFormula>Table1[[#This Row],[id2]]&amp;Table1[[#This Row],[name6]]</calculatedColumnFormula>
    </tableColumn>
    <tableColumn id="17" xr3:uid="{00000000-0010-0000-0000-000011000000}"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30">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c r="Z7" s="6"/>
      <c r="AD7" s="7"/>
      <c r="AN7" s="7"/>
      <c r="AO7" s="7"/>
    </row>
    <row r="8" spans="1:42">
      <c r="Z8" s="6"/>
      <c r="AD8" s="7"/>
      <c r="AN8" s="7"/>
    </row>
    <row r="9" spans="1:42">
      <c r="Z9" s="6"/>
      <c r="AD9" s="7"/>
      <c r="AN9" s="7"/>
    </row>
    <row r="10" spans="1:42">
      <c r="Z10" s="6"/>
      <c r="AD10" s="7"/>
      <c r="AN10" s="7"/>
    </row>
    <row r="11" spans="1:42">
      <c r="Z11" s="6"/>
      <c r="AD11" s="7"/>
      <c r="AN11" s="7"/>
    </row>
    <row r="12" spans="1:42">
      <c r="Z12" s="6"/>
      <c r="AD12" s="7"/>
      <c r="AN12" s="7"/>
    </row>
    <row r="13" spans="1:42">
      <c r="Z13" s="6"/>
      <c r="AD13" s="7"/>
      <c r="AN13" s="7"/>
    </row>
    <row r="14" spans="1:42">
      <c r="Z14" s="6"/>
      <c r="AD14" s="7"/>
      <c r="AN14" s="7"/>
    </row>
    <row r="15" spans="1:42">
      <c r="Z15" s="6"/>
      <c r="AD15" s="7"/>
      <c r="AN15" s="7"/>
    </row>
    <row r="16" spans="1:42">
      <c r="Z16" s="6"/>
      <c r="AD16" s="7"/>
      <c r="AN16" s="7"/>
    </row>
    <row r="17" spans="26:40">
      <c r="Z17" s="6"/>
      <c r="AD17" s="7"/>
      <c r="AN17" s="7"/>
    </row>
    <row r="18" spans="26:40">
      <c r="Z18" s="6"/>
      <c r="AD18" s="7"/>
      <c r="AN18" s="7"/>
    </row>
    <row r="19" spans="26:40">
      <c r="Z19" s="6"/>
      <c r="AD19" s="7"/>
      <c r="AN19" s="7"/>
    </row>
    <row r="20" spans="26:40">
      <c r="Z20" s="6"/>
      <c r="AD20" s="7"/>
      <c r="AN20" s="7"/>
    </row>
    <row r="21" spans="26:40">
      <c r="Z21" s="6"/>
      <c r="AD21" s="7"/>
      <c r="AN21" s="7"/>
    </row>
    <row r="22" spans="26:40">
      <c r="Z22" s="6"/>
      <c r="AD22" s="7"/>
      <c r="AN22" s="7"/>
    </row>
    <row r="23" spans="26:40">
      <c r="Z23" s="6"/>
      <c r="AD23" s="7"/>
      <c r="AN23" s="7"/>
    </row>
    <row r="24" spans="26:40">
      <c r="Z24" s="6"/>
      <c r="AD24" s="7"/>
      <c r="AN24" s="7"/>
    </row>
    <row r="25" spans="26:40">
      <c r="Z25" s="6"/>
      <c r="AD25" s="7"/>
      <c r="AN25" s="7"/>
    </row>
    <row r="26" spans="26:40">
      <c r="Z26" s="6"/>
      <c r="AD26" s="7"/>
      <c r="AN26" s="7"/>
    </row>
    <row r="27" spans="26:40">
      <c r="Z27" s="6"/>
      <c r="AD27" s="7"/>
      <c r="AN27" s="7"/>
    </row>
    <row r="28" spans="26:40">
      <c r="Z28" s="6"/>
      <c r="AD28" s="7"/>
      <c r="AN28" s="7"/>
    </row>
    <row r="29" spans="26:40">
      <c r="Z29" s="6"/>
      <c r="AD29" s="7"/>
      <c r="AN29" s="7"/>
    </row>
    <row r="30" spans="26:40">
      <c r="Z30" s="6"/>
      <c r="AD30" s="7"/>
      <c r="AN30" s="7"/>
    </row>
    <row r="31" spans="26:40">
      <c r="Z31" s="6"/>
      <c r="AD31" s="7"/>
      <c r="AN31" s="7"/>
    </row>
    <row r="32" spans="26:40">
      <c r="Z32" s="6"/>
      <c r="AD32" s="7"/>
      <c r="AN32" s="7"/>
    </row>
    <row r="33" spans="26:40">
      <c r="Z33" s="6"/>
      <c r="AD33" s="7"/>
      <c r="AN33" s="7"/>
    </row>
    <row r="34" spans="26:40">
      <c r="Z34" s="6"/>
      <c r="AD34" s="7"/>
      <c r="AN34" s="7"/>
    </row>
    <row r="35" spans="26:40">
      <c r="Z35" s="6"/>
      <c r="AD35" s="7"/>
      <c r="AN35" s="7"/>
    </row>
    <row r="36" spans="26:40">
      <c r="Z36" s="6"/>
      <c r="AD36" s="7"/>
      <c r="AN36" s="7"/>
    </row>
    <row r="37" spans="26:40">
      <c r="Z37" s="6"/>
      <c r="AD37" s="7"/>
      <c r="AN37" s="7"/>
    </row>
    <row r="38" spans="26:40">
      <c r="Z38" s="6"/>
      <c r="AD38" s="7"/>
      <c r="AN38" s="7"/>
    </row>
    <row r="39" spans="26:40">
      <c r="Z39" s="6"/>
      <c r="AD39" s="7"/>
      <c r="AN39" s="7"/>
    </row>
    <row r="40" spans="26:40">
      <c r="Z40" s="6"/>
      <c r="AD40" s="7"/>
      <c r="AN40" s="7"/>
    </row>
    <row r="41" spans="26:40">
      <c r="Z41" s="6"/>
      <c r="AD41" s="7"/>
      <c r="AN41" s="7"/>
    </row>
    <row r="42" spans="26:40">
      <c r="Z42" s="6"/>
      <c r="AD42" s="7"/>
      <c r="AN42" s="7"/>
    </row>
    <row r="43" spans="26:40">
      <c r="Z43" s="6"/>
      <c r="AD43" s="7"/>
      <c r="AN43" s="7"/>
    </row>
    <row r="44" spans="26:40">
      <c r="Z44" s="6"/>
      <c r="AD44" s="7"/>
      <c r="AN44" s="7"/>
    </row>
    <row r="45" spans="26:40">
      <c r="Z45" s="6"/>
      <c r="AD45" s="7"/>
      <c r="AN45" s="7"/>
    </row>
    <row r="46" spans="26:40">
      <c r="Z46" s="6"/>
      <c r="AD46" s="7"/>
      <c r="AN46" s="7"/>
    </row>
    <row r="47" spans="26:40">
      <c r="Z47" s="6"/>
      <c r="AD47" s="7"/>
      <c r="AN47" s="7"/>
    </row>
    <row r="48" spans="26:40">
      <c r="Z48" s="6"/>
      <c r="AD48" s="7"/>
      <c r="AN48" s="7"/>
    </row>
    <row r="49" spans="26:40">
      <c r="Z49" s="6"/>
      <c r="AD49" s="7"/>
      <c r="AN49" s="7"/>
    </row>
    <row r="50" spans="26:40">
      <c r="Z50" s="6"/>
      <c r="AD50" s="7"/>
      <c r="AN50" s="7"/>
    </row>
    <row r="51" spans="26:40">
      <c r="Z51" s="6"/>
      <c r="AD51" s="7"/>
      <c r="AN51" s="7"/>
    </row>
    <row r="52" spans="26:40">
      <c r="Z52" s="6"/>
      <c r="AD52" s="7"/>
      <c r="AN52" s="7"/>
    </row>
    <row r="53" spans="26:40">
      <c r="Z53" s="6"/>
      <c r="AD53" s="7"/>
      <c r="AN53" s="7"/>
    </row>
    <row r="54" spans="26:40">
      <c r="Z54" s="6"/>
      <c r="AD54" s="7"/>
      <c r="AN54" s="7"/>
    </row>
    <row r="55" spans="26:40">
      <c r="Z55" s="6"/>
      <c r="AD55" s="7"/>
      <c r="AN55" s="7"/>
    </row>
    <row r="56" spans="26:40">
      <c r="Z56" s="6"/>
      <c r="AD56" s="7"/>
      <c r="AN56" s="7"/>
    </row>
    <row r="57" spans="26:40">
      <c r="Z57" s="6"/>
      <c r="AD57" s="7"/>
      <c r="AN57" s="7"/>
    </row>
    <row r="58" spans="26:40">
      <c r="Z58" s="6"/>
      <c r="AD58" s="7"/>
      <c r="AN58" s="7"/>
    </row>
    <row r="59" spans="26:40">
      <c r="Z59" s="6"/>
      <c r="AD59" s="7"/>
      <c r="AN59" s="7"/>
    </row>
    <row r="60" spans="26:40">
      <c r="Z60" s="6"/>
      <c r="AD60" s="7"/>
      <c r="AN60" s="7"/>
    </row>
    <row r="61" spans="26:40">
      <c r="Z61" s="6"/>
      <c r="AD61" s="7"/>
      <c r="AN61" s="7"/>
    </row>
    <row r="62" spans="26:40">
      <c r="Z62" s="6"/>
      <c r="AD62" s="7"/>
      <c r="AN62" s="7"/>
    </row>
    <row r="63" spans="26:40">
      <c r="Z63" s="6"/>
      <c r="AD63" s="7"/>
      <c r="AN63" s="7"/>
    </row>
    <row r="64" spans="26:40">
      <c r="Z64" s="6"/>
      <c r="AD64" s="7"/>
      <c r="AN64" s="7"/>
    </row>
    <row r="65" spans="26:40">
      <c r="Z65" s="6"/>
      <c r="AD65" s="7"/>
      <c r="AN65" s="7"/>
    </row>
    <row r="66" spans="26:40">
      <c r="Z66" s="6"/>
      <c r="AD66" s="7"/>
      <c r="AN66" s="7"/>
    </row>
    <row r="67" spans="26:40">
      <c r="Z67" s="6"/>
      <c r="AD67" s="7"/>
      <c r="AN67" s="7"/>
    </row>
    <row r="68" spans="26:40">
      <c r="Z68" s="6"/>
      <c r="AD68" s="7"/>
      <c r="AN68" s="7"/>
    </row>
    <row r="69" spans="26:40">
      <c r="Z69" s="6"/>
      <c r="AD69" s="7"/>
      <c r="AN69" s="7"/>
    </row>
    <row r="70" spans="26:40">
      <c r="Z70" s="6"/>
      <c r="AD70" s="7"/>
      <c r="AN70" s="7"/>
    </row>
    <row r="71" spans="26:40">
      <c r="Z71" s="6"/>
      <c r="AD71" s="7"/>
      <c r="AN71" s="7"/>
    </row>
    <row r="72" spans="26:40">
      <c r="Z72" s="6"/>
      <c r="AD72" s="7"/>
      <c r="AN72" s="7"/>
    </row>
    <row r="73" spans="26:40">
      <c r="Z73" s="6"/>
      <c r="AD73" s="7"/>
      <c r="AN73" s="7"/>
    </row>
    <row r="74" spans="26:40">
      <c r="Z74" s="6"/>
      <c r="AD74" s="7"/>
      <c r="AN74" s="7"/>
    </row>
    <row r="75" spans="26:40">
      <c r="Z75" s="6"/>
      <c r="AD75" s="7"/>
      <c r="AN75" s="7"/>
    </row>
    <row r="76" spans="26:40">
      <c r="Z76" s="6"/>
      <c r="AD76" s="7"/>
      <c r="AN76" s="7"/>
    </row>
    <row r="77" spans="26:40">
      <c r="Z77" s="6"/>
      <c r="AD77" s="7"/>
      <c r="AN77" s="7"/>
    </row>
    <row r="78" spans="26:40">
      <c r="Z78" s="6"/>
      <c r="AD78" s="7"/>
      <c r="AN78" s="7"/>
    </row>
    <row r="79" spans="26:40">
      <c r="Z79" s="6"/>
      <c r="AD79" s="7"/>
      <c r="AN79" s="7"/>
    </row>
    <row r="80" spans="26:40">
      <c r="Z80" s="6"/>
      <c r="AD80" s="7"/>
      <c r="AN80" s="7"/>
    </row>
    <row r="81" spans="26:40">
      <c r="Z81" s="6"/>
      <c r="AD81" s="7"/>
      <c r="AN81" s="7"/>
    </row>
    <row r="82" spans="26:40">
      <c r="Z82" s="6"/>
      <c r="AD82" s="7"/>
      <c r="AN82" s="7"/>
    </row>
    <row r="83" spans="26:40">
      <c r="Z83" s="6"/>
      <c r="AD83" s="7"/>
      <c r="AN83" s="7"/>
    </row>
    <row r="84" spans="26:40">
      <c r="Z84" s="6"/>
      <c r="AD84" s="7"/>
      <c r="AN84" s="7"/>
    </row>
    <row r="85" spans="26:40">
      <c r="Z85" s="6"/>
      <c r="AD85" s="7"/>
      <c r="AN85" s="7"/>
    </row>
    <row r="86" spans="26:40">
      <c r="Z86" s="6"/>
      <c r="AD86" s="7"/>
      <c r="AN86" s="7"/>
    </row>
    <row r="87" spans="26:40">
      <c r="Z87" s="6"/>
      <c r="AD87" s="7"/>
      <c r="AN87" s="7"/>
    </row>
    <row r="88" spans="26:40">
      <c r="Z88" s="6"/>
      <c r="AD88" s="7"/>
      <c r="AN88" s="7"/>
    </row>
    <row r="89" spans="26:40">
      <c r="Z89" s="6"/>
      <c r="AD89" s="7"/>
      <c r="AN89" s="7"/>
    </row>
    <row r="90" spans="26:40">
      <c r="Z90" s="6"/>
      <c r="AD90" s="7"/>
      <c r="AN90" s="7"/>
    </row>
    <row r="91" spans="26:40">
      <c r="Z91" s="6"/>
      <c r="AD91" s="7"/>
      <c r="AN91" s="7"/>
    </row>
    <row r="92" spans="26:40">
      <c r="Z92" s="6"/>
      <c r="AD92" s="7"/>
      <c r="AN92" s="7"/>
    </row>
    <row r="93" spans="26:40">
      <c r="Z93" s="6"/>
      <c r="AD93" s="7"/>
      <c r="AN93" s="7"/>
    </row>
    <row r="94" spans="26:40">
      <c r="Z94" s="6"/>
      <c r="AD94" s="7"/>
      <c r="AN94" s="7"/>
    </row>
    <row r="95" spans="26:40">
      <c r="Z95" s="6"/>
      <c r="AD95" s="7"/>
      <c r="AN95" s="7"/>
    </row>
    <row r="96" spans="26:40">
      <c r="Z96" s="6"/>
      <c r="AD96" s="7"/>
      <c r="AN96" s="7"/>
    </row>
    <row r="97" spans="26:40">
      <c r="Z97" s="6"/>
      <c r="AD97" s="7"/>
      <c r="AN97" s="7"/>
    </row>
    <row r="98" spans="26:40">
      <c r="Z98" s="6"/>
      <c r="AD98" s="7"/>
      <c r="AN98" s="7"/>
    </row>
    <row r="99" spans="26:40">
      <c r="Z99" s="6"/>
      <c r="AD99" s="7"/>
      <c r="AN99" s="7"/>
    </row>
    <row r="100" spans="26:40">
      <c r="Z100" s="6"/>
      <c r="AD100" s="7"/>
      <c r="AN100" s="7"/>
    </row>
    <row r="101" spans="26:40">
      <c r="Z101" s="6"/>
      <c r="AD101" s="7"/>
      <c r="AN101" s="7"/>
    </row>
    <row r="102" spans="26:40">
      <c r="Z102" s="6"/>
      <c r="AD102" s="7"/>
      <c r="AN102" s="7"/>
    </row>
    <row r="103" spans="26:40">
      <c r="Z103" s="6"/>
      <c r="AD103" s="7"/>
      <c r="AN103" s="7"/>
    </row>
    <row r="104" spans="26:40">
      <c r="Z104" s="6"/>
      <c r="AD104" s="7"/>
      <c r="AN104" s="7"/>
    </row>
    <row r="105" spans="26:40">
      <c r="Z105" s="6"/>
      <c r="AD105" s="7"/>
      <c r="AN105" s="7"/>
    </row>
    <row r="106" spans="26:40">
      <c r="Z106" s="6"/>
      <c r="AD106" s="7"/>
      <c r="AN106" s="7"/>
    </row>
    <row r="107" spans="26:40">
      <c r="Z107" s="6"/>
      <c r="AD107" s="7"/>
      <c r="AN107" s="7"/>
    </row>
    <row r="108" spans="26:40">
      <c r="Z108" s="6"/>
      <c r="AD108" s="7"/>
      <c r="AN108" s="7"/>
    </row>
    <row r="109" spans="26:40">
      <c r="Z109" s="6"/>
      <c r="AD109" s="7"/>
      <c r="AN109" s="7"/>
    </row>
    <row r="110" spans="26:40">
      <c r="Z110" s="6"/>
      <c r="AD110" s="7"/>
      <c r="AN110" s="7"/>
    </row>
    <row r="111" spans="26:40">
      <c r="Z111" s="6"/>
      <c r="AD111" s="7"/>
      <c r="AN111" s="7"/>
    </row>
    <row r="112" spans="26:40">
      <c r="Z112" s="6"/>
      <c r="AD112" s="7"/>
      <c r="AN112" s="7"/>
    </row>
    <row r="113" spans="26:40">
      <c r="Z113" s="6"/>
      <c r="AD113" s="7"/>
      <c r="AN113" s="7"/>
    </row>
    <row r="114" spans="26:40">
      <c r="Z114" s="6"/>
      <c r="AD114" s="7"/>
      <c r="AN114" s="7"/>
    </row>
    <row r="115" spans="26:40">
      <c r="Z115" s="6"/>
      <c r="AD115" s="7"/>
      <c r="AN115" s="7"/>
    </row>
    <row r="116" spans="26:40">
      <c r="Z116" s="6"/>
      <c r="AD116" s="7"/>
      <c r="AN116" s="7"/>
    </row>
    <row r="117" spans="26:40">
      <c r="Z117" s="6"/>
      <c r="AD117" s="7"/>
      <c r="AN117" s="7"/>
    </row>
    <row r="118" spans="26:40">
      <c r="Z118" s="6"/>
      <c r="AD118" s="7"/>
      <c r="AN118" s="7"/>
    </row>
    <row r="119" spans="26:40">
      <c r="Z119" s="6"/>
      <c r="AD119" s="7"/>
      <c r="AN119" s="7"/>
    </row>
    <row r="120" spans="26:40">
      <c r="Z120" s="6"/>
      <c r="AD120" s="7"/>
      <c r="AN120" s="7"/>
    </row>
    <row r="121" spans="26:40">
      <c r="Z121" s="6"/>
      <c r="AD121" s="7"/>
      <c r="AN121" s="7"/>
    </row>
    <row r="122" spans="26:40">
      <c r="Z122" s="6"/>
      <c r="AD122" s="7"/>
      <c r="AN122" s="7"/>
    </row>
    <row r="123" spans="26:40">
      <c r="Z123" s="6"/>
      <c r="AD123" s="7"/>
      <c r="AN123" s="7"/>
    </row>
    <row r="124" spans="26:40">
      <c r="Z124" s="6"/>
      <c r="AD124" s="7"/>
      <c r="AN124" s="7"/>
    </row>
    <row r="125" spans="26:40">
      <c r="Z125" s="6"/>
      <c r="AD125" s="7"/>
      <c r="AN125" s="7"/>
    </row>
    <row r="126" spans="26:40">
      <c r="Z126" s="6"/>
      <c r="AD126" s="7"/>
      <c r="AN126" s="7"/>
    </row>
    <row r="127" spans="26:40">
      <c r="Z127" s="6"/>
      <c r="AD127" s="7"/>
      <c r="AN127" s="7"/>
    </row>
    <row r="128" spans="26:40">
      <c r="Z128" s="6"/>
      <c r="AD128" s="7"/>
      <c r="AN128" s="7"/>
    </row>
    <row r="129" spans="26:40">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I3"/>
  <sheetViews>
    <sheetView workbookViewId="0">
      <selection activeCell="B3" sqref="B3"/>
    </sheetView>
  </sheetViews>
  <sheetFormatPr defaultRowHeight="1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c r="A1" s="18" t="s">
        <v>13</v>
      </c>
      <c r="B1" s="19" t="s">
        <v>114</v>
      </c>
      <c r="C1" s="20" t="s">
        <v>56</v>
      </c>
      <c r="E1" s="66" t="s">
        <v>139</v>
      </c>
      <c r="F1" s="67"/>
      <c r="G1" s="67"/>
      <c r="H1" s="67"/>
      <c r="I1" s="68"/>
      <c r="J1" s="35"/>
      <c r="K1" s="65" t="s">
        <v>14</v>
      </c>
      <c r="L1" s="65"/>
      <c r="M1" s="65"/>
      <c r="N1" s="65"/>
      <c r="O1" s="65"/>
      <c r="P1" s="65"/>
      <c r="Q1" s="65"/>
      <c r="R1" s="32"/>
      <c r="S1" s="65" t="s">
        <v>15</v>
      </c>
      <c r="T1" s="65"/>
      <c r="U1" s="65"/>
      <c r="V1" s="65"/>
      <c r="W1" s="65"/>
      <c r="X1" s="32"/>
      <c r="Y1" s="65" t="s">
        <v>117</v>
      </c>
      <c r="Z1" s="65"/>
      <c r="AA1" s="65"/>
      <c r="AB1" s="65"/>
      <c r="AC1" s="65"/>
      <c r="AD1" s="65"/>
      <c r="AE1" s="65"/>
      <c r="AF1" s="65"/>
      <c r="AG1" s="65"/>
      <c r="AH1" s="65"/>
      <c r="AI1" s="65"/>
    </row>
    <row r="2" spans="1:35">
      <c r="A2" s="23" t="s">
        <v>112</v>
      </c>
      <c r="B2" s="23" t="s">
        <v>113</v>
      </c>
      <c r="C2" s="23" t="s">
        <v>4</v>
      </c>
      <c r="E2" s="33" t="s">
        <v>135</v>
      </c>
      <c r="F2" s="33" t="s">
        <v>138</v>
      </c>
      <c r="G2" s="33" t="s">
        <v>136</v>
      </c>
      <c r="H2" s="33" t="s">
        <v>137</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c r="A3" s="21" t="s">
        <v>141</v>
      </c>
      <c r="B3" s="21" t="s">
        <v>140</v>
      </c>
      <c r="C3" s="22" t="s">
        <v>79</v>
      </c>
      <c r="E3" s="34">
        <f>SUMIF('Card Data'!$A:$A,$A3,'Card Data'!$E:$E)</f>
        <v>0</v>
      </c>
      <c r="F3" s="34">
        <f>COUNTIFS('Card Data'!$I:$I,K$2,'Card Data'!$A:$A,$A3)</f>
        <v>0</v>
      </c>
      <c r="G3" s="34">
        <f>SUMIFS('Card Data'!$E:$E,'Card Data'!$A:$A,$A3,'Card Data'!$J:$J,"&lt;&gt;",'Card Data'!$I:$I,"&lt;&gt;Hero")</f>
        <v>0</v>
      </c>
      <c r="H3" s="34">
        <f>SUMIFS('Card Data'!$E:$E,'Card Data'!$A:$A,$A3,'Card Data'!$J:$J,"")-I3</f>
        <v>0</v>
      </c>
      <c r="I3" s="34">
        <f>COUNTIFS('Card Data'!$I:$I,I$2,'Card Data'!$A:$A,$A3,'Card Data'!$K:$K,"&lt;&gt;*Side Quest.*")</f>
        <v>0</v>
      </c>
      <c r="J3" s="34"/>
      <c r="K3" s="34">
        <f>COUNTIFS('Card Data'!$I:$I,K$2,'Card Data'!$A:$A,$A3)</f>
        <v>0</v>
      </c>
      <c r="L3" s="34">
        <f>COUNTIFS('Card Data'!$I:$I,L$2,'Card Data'!$A:$A,$A3)</f>
        <v>0</v>
      </c>
      <c r="M3" s="34">
        <f>COUNTIFS('Card Data'!$I:$I,M$2,'Card Data'!$A:$A,$A3)</f>
        <v>0</v>
      </c>
      <c r="N3" s="34">
        <f>COUNTIFS('Card Data'!$I:$I,N$2,'Card Data'!$A:$A,$A3)</f>
        <v>0</v>
      </c>
      <c r="O3" s="34">
        <f>COUNTIFS('Card Data'!$I:$I,O$2,'Card Data'!$A:$A,$A3)</f>
        <v>0</v>
      </c>
      <c r="P3" s="34">
        <f>COUNTIFS('Card Data'!$I:$I,P$2,'Card Data'!$A:$A,$A3)</f>
        <v>0</v>
      </c>
      <c r="Q3" s="34">
        <f>COUNTIFS('Card Data'!$I:$I,Q$2,'Card Data'!$A:$A,$A3)</f>
        <v>0</v>
      </c>
      <c r="R3" s="34"/>
      <c r="S3" s="34">
        <f>COUNTIFS('Card Data'!$J:$J,S$2,'Card Data'!$A:$A,$A3)</f>
        <v>0</v>
      </c>
      <c r="T3" s="34">
        <f>COUNTIFS('Card Data'!$J:$J,T$2,'Card Data'!$A:$A,$A3)</f>
        <v>0</v>
      </c>
      <c r="U3" s="34">
        <f>COUNTIFS('Card Data'!$J:$J,U$2,'Card Data'!$A:$A,$A3)</f>
        <v>0</v>
      </c>
      <c r="V3" s="34">
        <f>COUNTIFS('Card Data'!$J:$J,V$2,'Card Data'!$A:$A,$A3)</f>
        <v>0</v>
      </c>
      <c r="W3" s="34">
        <f>COUNTIFS('Card Data'!$J:$J,W$2,'Card Data'!$A:$A,$A3)</f>
        <v>0</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t="str">
        <f>IF(COUNTIFS('Card Data'!$K:$K,"*"&amp;Z$2&amp;".*",'Card Data'!$A:$A,$A3)=0,"",IF(COUNTIFS('Card Data'!$K:$K,"*"&amp;Z$2&amp;".*",'Card Data'!$A:$A,$A3,'Card Data'!$I:$I,"Hero")=0,COUNTIFS('Card Data'!$K:$K,"*"&amp;Z$2&amp;".*",'Card Data'!$A:$A,$A3),COUNTIFS('Card Data'!$K:$K,"*"&amp;Z$2&amp;".*",'Card Data'!$A:$A,$A3)&amp;" ("&amp;COUNTIFS('Card Data'!$K:$K,"*"&amp;Z$2&amp;".*",'Card Data'!$A:$A,$A3,'Card Data'!$I:$I,"Hero")&amp;")"))</f>
        <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
      </c>
      <c r="AH3" s="34" t="str">
        <f>IF(COUNTIFS('Card Data'!$K:$K,"*"&amp;AH$2&amp;".*",'Card Data'!$A:$A,$A3)=0,"",IF(COUNTIFS('Card Data'!$K:$K,"*"&amp;AH$2&amp;".*",'Card Data'!$A:$A,$A3,'Card Data'!$I:$I,"Hero")=0,COUNTIFS('Card Data'!$K:$K,"*"&amp;AH$2&amp;".*",'Card Data'!$A:$A,$A3),COUNTIFS('Card Data'!$K:$K,"*"&amp;AH$2&amp;".*",'Card Data'!$A:$A,$A3)&amp;" ("&amp;COUNTIFS('Card Data'!$K:$K,"*"&amp;AH$2&amp;".*",'Card Data'!$A:$A,$A3,'Card Data'!$I:$I,"Hero")&amp;")"))</f>
        <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P1755"/>
  <sheetViews>
    <sheetView tabSelected="1" workbookViewId="0">
      <pane xSplit="7" ySplit="1" topLeftCell="H2" activePane="bottomRight" state="frozen"/>
      <selection pane="topRight" activeCell="F1" sqref="F1"/>
      <selection pane="bottomLeft" activeCell="A2" sqref="A2"/>
      <selection pane="bottomRight" activeCell="D2" sqref="D2"/>
    </sheetView>
  </sheetViews>
  <sheetFormatPr defaultRowHeight="12" outlineLevelCol="1"/>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4"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customWidth="1" outlineLevel="1"/>
    <col min="42" max="42" width="7" style="14" customWidth="1" outlineLevel="1"/>
    <col min="43" max="16384" width="9.140625" style="14"/>
  </cols>
  <sheetData>
    <row r="1" spans="1:42" s="13" customFormat="1" ht="75">
      <c r="A1" s="11" t="s">
        <v>46</v>
      </c>
      <c r="B1" s="11" t="s">
        <v>116</v>
      </c>
      <c r="C1" s="17" t="s">
        <v>111</v>
      </c>
      <c r="D1" s="17" t="s">
        <v>55</v>
      </c>
      <c r="E1" s="17" t="s">
        <v>31</v>
      </c>
      <c r="F1" s="11" t="s">
        <v>30</v>
      </c>
      <c r="G1" s="11" t="s">
        <v>48</v>
      </c>
      <c r="H1" s="17" t="s">
        <v>18</v>
      </c>
      <c r="I1" s="11" t="s">
        <v>14</v>
      </c>
      <c r="J1" s="24" t="s">
        <v>15</v>
      </c>
      <c r="K1" s="12" t="s">
        <v>24</v>
      </c>
      <c r="L1" s="12" t="s">
        <v>27</v>
      </c>
      <c r="M1" s="63"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2">
      <c r="A2" s="60"/>
      <c r="B2" s="60"/>
      <c r="C2" s="60"/>
      <c r="D2" s="60"/>
      <c r="E2" s="60"/>
      <c r="F2" s="60"/>
      <c r="G2" s="60"/>
    </row>
    <row r="3" spans="1:42">
      <c r="A3" s="60"/>
    </row>
    <row r="4" spans="1:42">
      <c r="A4" s="60"/>
    </row>
    <row r="5" spans="1:42">
      <c r="A5" s="60"/>
    </row>
    <row r="6" spans="1:42">
      <c r="A6" s="60"/>
      <c r="K6" s="14"/>
      <c r="L6" s="61"/>
      <c r="M6" s="62"/>
    </row>
    <row r="7" spans="1:42">
      <c r="A7" s="60"/>
      <c r="B7" s="43"/>
      <c r="K7" s="14"/>
      <c r="L7" s="61"/>
      <c r="M7" s="62"/>
    </row>
    <row r="8" spans="1:42">
      <c r="A8" s="60"/>
      <c r="K8" s="14"/>
      <c r="L8" s="61"/>
      <c r="M8" s="62"/>
    </row>
    <row r="9" spans="1:42">
      <c r="A9" s="60"/>
      <c r="K9" s="14"/>
      <c r="L9" s="61"/>
      <c r="M9" s="62"/>
    </row>
    <row r="10" spans="1:42">
      <c r="A10" s="60"/>
      <c r="K10" s="14"/>
      <c r="L10" s="61"/>
      <c r="M10" s="62"/>
    </row>
    <row r="11" spans="1:42">
      <c r="A11" s="60"/>
      <c r="K11" s="14"/>
      <c r="L11" s="61"/>
      <c r="M11" s="62"/>
    </row>
    <row r="12" spans="1:42">
      <c r="A12" s="60"/>
      <c r="K12" s="14"/>
      <c r="L12" s="61"/>
      <c r="M12" s="62"/>
    </row>
    <row r="734" spans="14:19">
      <c r="N734" s="47"/>
      <c r="O734" s="48"/>
      <c r="P734" s="49"/>
      <c r="Q734" s="50"/>
      <c r="R734" s="51"/>
      <c r="S734" s="52"/>
    </row>
    <row r="735" spans="14:19">
      <c r="N735" s="47"/>
      <c r="O735" s="48"/>
      <c r="P735" s="49"/>
      <c r="Q735" s="50"/>
      <c r="R735" s="51"/>
      <c r="S735" s="52"/>
    </row>
    <row r="736" spans="14:19">
      <c r="N736" s="47"/>
      <c r="O736" s="48"/>
      <c r="P736" s="49"/>
      <c r="Q736" s="50"/>
      <c r="R736" s="51"/>
      <c r="S736" s="52"/>
    </row>
    <row r="737" spans="14:19">
      <c r="N737" s="47"/>
      <c r="O737" s="48"/>
      <c r="P737" s="49"/>
      <c r="Q737" s="50"/>
      <c r="R737" s="51"/>
      <c r="S737" s="52"/>
    </row>
    <row r="738" spans="14:19">
      <c r="N738" s="47"/>
      <c r="O738" s="48"/>
      <c r="P738" s="49"/>
      <c r="Q738" s="50"/>
      <c r="R738" s="51"/>
      <c r="S738" s="52"/>
    </row>
    <row r="739" spans="14:19">
      <c r="N739" s="47"/>
      <c r="O739" s="48"/>
      <c r="P739" s="49"/>
      <c r="Q739" s="50"/>
      <c r="R739" s="51"/>
      <c r="S739" s="52"/>
    </row>
    <row r="740" spans="14:19">
      <c r="N740" s="47"/>
      <c r="O740" s="48"/>
      <c r="P740" s="49"/>
      <c r="Q740" s="50"/>
      <c r="R740" s="51"/>
      <c r="S740" s="52"/>
    </row>
    <row r="741" spans="14:19">
      <c r="N741" s="47"/>
      <c r="O741" s="48"/>
      <c r="P741" s="49"/>
      <c r="Q741" s="50"/>
      <c r="R741" s="51"/>
      <c r="S741" s="52"/>
    </row>
    <row r="742" spans="14:19">
      <c r="N742" s="47"/>
      <c r="O742" s="48"/>
      <c r="P742" s="49"/>
      <c r="Q742" s="50"/>
      <c r="R742" s="51"/>
      <c r="S742" s="52"/>
    </row>
    <row r="743" spans="14:19">
      <c r="N743" s="47"/>
      <c r="O743" s="48"/>
      <c r="P743" s="49"/>
      <c r="Q743" s="50"/>
      <c r="R743" s="51"/>
      <c r="S743" s="52"/>
    </row>
    <row r="744" spans="14:19">
      <c r="N744" s="47"/>
      <c r="O744" s="48"/>
      <c r="P744" s="49"/>
      <c r="Q744" s="50"/>
      <c r="R744" s="51"/>
      <c r="S744" s="52"/>
    </row>
    <row r="745" spans="14:19">
      <c r="N745" s="47"/>
      <c r="O745" s="48"/>
      <c r="P745" s="49"/>
      <c r="Q745" s="50"/>
      <c r="R745" s="51"/>
      <c r="S745" s="52"/>
    </row>
    <row r="746" spans="14:19">
      <c r="N746" s="47"/>
      <c r="O746" s="48"/>
      <c r="P746" s="49"/>
      <c r="Q746" s="50"/>
      <c r="R746" s="51"/>
      <c r="S746" s="52"/>
    </row>
    <row r="747" spans="14:19">
      <c r="N747" s="47"/>
      <c r="O747" s="48"/>
      <c r="P747" s="49"/>
      <c r="Q747" s="50"/>
      <c r="R747" s="51"/>
      <c r="S747" s="52"/>
    </row>
    <row r="748" spans="14:19">
      <c r="N748" s="47"/>
      <c r="O748" s="48"/>
      <c r="P748" s="49"/>
      <c r="Q748" s="50"/>
      <c r="R748" s="51"/>
      <c r="S748" s="52"/>
    </row>
    <row r="749" spans="14:19">
      <c r="N749" s="47"/>
      <c r="O749" s="48"/>
      <c r="P749" s="49"/>
      <c r="Q749" s="50"/>
      <c r="R749" s="51"/>
      <c r="S749" s="52"/>
    </row>
    <row r="750" spans="14:19">
      <c r="N750" s="47"/>
      <c r="O750" s="48"/>
      <c r="P750" s="49"/>
      <c r="Q750" s="50"/>
      <c r="R750" s="51"/>
      <c r="S750" s="52"/>
    </row>
    <row r="751" spans="14:19">
      <c r="N751" s="47"/>
      <c r="O751" s="48"/>
      <c r="P751" s="49"/>
      <c r="Q751" s="50"/>
      <c r="R751" s="51"/>
      <c r="S751" s="52"/>
    </row>
    <row r="752" spans="14:19">
      <c r="N752" s="47"/>
      <c r="O752" s="48"/>
      <c r="P752" s="49"/>
      <c r="Q752" s="50"/>
      <c r="R752" s="51"/>
      <c r="S752" s="52"/>
    </row>
    <row r="753" spans="14:19">
      <c r="N753" s="47"/>
      <c r="O753" s="48"/>
      <c r="P753" s="49"/>
      <c r="Q753" s="50"/>
      <c r="R753" s="51"/>
      <c r="S753" s="52"/>
    </row>
    <row r="754" spans="14:19">
      <c r="N754" s="47"/>
      <c r="O754" s="48"/>
      <c r="P754" s="49"/>
      <c r="Q754" s="50"/>
      <c r="R754" s="51"/>
      <c r="S754" s="52"/>
    </row>
    <row r="755" spans="14:19">
      <c r="N755" s="47"/>
      <c r="O755" s="48"/>
      <c r="P755" s="49"/>
      <c r="Q755" s="50"/>
      <c r="R755" s="51"/>
      <c r="S755" s="52"/>
    </row>
    <row r="756" spans="14:19">
      <c r="N756" s="47"/>
      <c r="O756" s="48"/>
      <c r="P756" s="49"/>
      <c r="Q756" s="50"/>
      <c r="R756" s="51"/>
      <c r="S756" s="52"/>
    </row>
    <row r="757" spans="14:19">
      <c r="N757" s="47"/>
      <c r="O757" s="48"/>
      <c r="P757" s="49"/>
      <c r="Q757" s="50"/>
      <c r="R757" s="51"/>
      <c r="S757" s="52"/>
    </row>
    <row r="758" spans="14:19">
      <c r="N758" s="47"/>
      <c r="O758" s="48"/>
      <c r="P758" s="49"/>
      <c r="Q758" s="50"/>
      <c r="R758" s="51"/>
      <c r="S758" s="52"/>
    </row>
    <row r="759" spans="14:19">
      <c r="N759" s="47"/>
      <c r="O759" s="48"/>
      <c r="P759" s="49"/>
      <c r="Q759" s="50"/>
      <c r="R759" s="51"/>
      <c r="S759" s="52"/>
    </row>
    <row r="760" spans="14:19">
      <c r="N760" s="47"/>
      <c r="O760" s="48"/>
      <c r="P760" s="49"/>
      <c r="Q760" s="50"/>
      <c r="R760" s="51"/>
      <c r="S760" s="52"/>
    </row>
    <row r="761" spans="14:19">
      <c r="N761" s="47"/>
      <c r="O761" s="48"/>
      <c r="P761" s="49"/>
      <c r="Q761" s="50"/>
      <c r="R761" s="51"/>
      <c r="S761" s="52"/>
    </row>
    <row r="762" spans="14:19">
      <c r="N762" s="47"/>
      <c r="O762" s="48"/>
      <c r="P762" s="49"/>
      <c r="Q762" s="50"/>
      <c r="R762" s="51"/>
      <c r="S762" s="52"/>
    </row>
    <row r="763" spans="14:19">
      <c r="N763" s="47"/>
      <c r="O763" s="48"/>
      <c r="P763" s="49"/>
      <c r="Q763" s="50"/>
      <c r="R763" s="51"/>
      <c r="S763" s="52"/>
    </row>
    <row r="764" spans="14:19">
      <c r="N764" s="47"/>
      <c r="O764" s="48"/>
      <c r="P764" s="49"/>
      <c r="Q764" s="50"/>
      <c r="R764" s="51"/>
      <c r="S764" s="52"/>
    </row>
    <row r="765" spans="14:19">
      <c r="N765" s="47"/>
      <c r="O765" s="48"/>
      <c r="P765" s="49"/>
      <c r="Q765" s="50"/>
      <c r="R765" s="51"/>
      <c r="S765" s="52"/>
    </row>
    <row r="771" spans="14:19">
      <c r="N771" s="47"/>
      <c r="O771" s="48"/>
      <c r="P771" s="49"/>
      <c r="Q771" s="50"/>
      <c r="R771" s="51"/>
      <c r="S771" s="52"/>
    </row>
    <row r="772" spans="14:19">
      <c r="N772" s="47"/>
      <c r="O772" s="48"/>
      <c r="P772" s="49"/>
      <c r="Q772" s="50"/>
      <c r="R772" s="51"/>
      <c r="S772" s="52"/>
    </row>
    <row r="773" spans="14:19">
      <c r="N773" s="47"/>
      <c r="O773" s="48"/>
      <c r="P773" s="49"/>
      <c r="Q773" s="50"/>
      <c r="R773" s="51"/>
      <c r="S773" s="52"/>
    </row>
    <row r="774" spans="14:19">
      <c r="N774" s="47"/>
      <c r="O774" s="48"/>
      <c r="P774" s="49"/>
      <c r="Q774" s="50"/>
      <c r="R774" s="51"/>
      <c r="S774" s="52"/>
    </row>
    <row r="775" spans="14:19">
      <c r="N775" s="47"/>
      <c r="O775" s="48"/>
      <c r="P775" s="49"/>
      <c r="Q775" s="50"/>
      <c r="R775" s="51"/>
      <c r="S775" s="52"/>
    </row>
    <row r="776" spans="14:19">
      <c r="N776" s="47"/>
      <c r="O776" s="48"/>
      <c r="P776" s="49"/>
      <c r="Q776" s="50"/>
      <c r="R776" s="51"/>
      <c r="S776" s="52"/>
    </row>
    <row r="777" spans="14:19">
      <c r="N777" s="47"/>
      <c r="O777" s="48"/>
      <c r="P777" s="49"/>
      <c r="Q777" s="50"/>
      <c r="R777" s="51"/>
      <c r="S777" s="52"/>
    </row>
    <row r="778" spans="14:19">
      <c r="N778" s="47"/>
      <c r="O778" s="48"/>
      <c r="P778" s="49"/>
      <c r="Q778" s="50"/>
      <c r="R778" s="51"/>
      <c r="S778" s="52"/>
    </row>
    <row r="779" spans="14:19">
      <c r="N779" s="47"/>
      <c r="O779" s="48"/>
      <c r="P779" s="49"/>
      <c r="Q779" s="50"/>
      <c r="R779" s="51"/>
      <c r="S779" s="52"/>
    </row>
    <row r="780" spans="14:19">
      <c r="N780" s="47"/>
      <c r="O780" s="48"/>
      <c r="P780" s="49"/>
      <c r="Q780" s="50"/>
      <c r="R780" s="51"/>
      <c r="S780" s="52"/>
    </row>
    <row r="781" spans="14:19">
      <c r="N781" s="47"/>
      <c r="O781" s="48"/>
      <c r="P781" s="49"/>
      <c r="Q781" s="50"/>
      <c r="R781" s="51"/>
      <c r="S781" s="52"/>
    </row>
    <row r="782" spans="14:19">
      <c r="N782" s="47"/>
      <c r="O782" s="48"/>
      <c r="P782" s="49"/>
      <c r="Q782" s="50"/>
      <c r="R782" s="51"/>
      <c r="S782" s="52"/>
    </row>
    <row r="783" spans="14:19">
      <c r="N783" s="47"/>
      <c r="O783" s="48"/>
      <c r="P783" s="49"/>
      <c r="Q783" s="50"/>
      <c r="R783" s="51"/>
      <c r="S783" s="52"/>
    </row>
    <row r="786" spans="14:19">
      <c r="N786" s="47"/>
      <c r="O786" s="48"/>
      <c r="P786" s="49"/>
      <c r="Q786" s="50"/>
      <c r="R786" s="51"/>
      <c r="S786" s="52"/>
    </row>
    <row r="787" spans="14:19">
      <c r="N787" s="47"/>
      <c r="O787" s="48"/>
      <c r="P787" s="49"/>
      <c r="Q787" s="50"/>
      <c r="R787" s="51"/>
      <c r="S787" s="52"/>
    </row>
    <row r="788" spans="14:19">
      <c r="N788" s="47"/>
      <c r="O788" s="48"/>
      <c r="P788" s="49"/>
      <c r="Q788" s="50"/>
      <c r="R788" s="51"/>
      <c r="S788" s="52"/>
    </row>
    <row r="792" spans="14:19">
      <c r="N792" s="47"/>
      <c r="O792" s="48"/>
      <c r="P792" s="49"/>
      <c r="Q792" s="50"/>
      <c r="R792" s="51"/>
      <c r="S792" s="52"/>
    </row>
    <row r="793" spans="14:19">
      <c r="N793" s="47"/>
      <c r="O793" s="48"/>
      <c r="P793" s="49"/>
      <c r="Q793" s="50"/>
      <c r="R793" s="51"/>
      <c r="S793" s="52"/>
    </row>
    <row r="794" spans="14:19">
      <c r="N794" s="47"/>
      <c r="O794" s="48"/>
      <c r="P794" s="49"/>
      <c r="Q794" s="50"/>
      <c r="R794" s="51"/>
      <c r="S794" s="52"/>
    </row>
    <row r="795" spans="14:19">
      <c r="N795" s="47"/>
      <c r="O795" s="48"/>
      <c r="P795" s="49"/>
      <c r="Q795" s="50"/>
      <c r="R795" s="51"/>
      <c r="S795" s="52"/>
    </row>
    <row r="796" spans="14:19">
      <c r="N796" s="47"/>
      <c r="O796" s="48"/>
      <c r="P796" s="49"/>
      <c r="Q796" s="50"/>
      <c r="R796" s="51"/>
      <c r="S796" s="52"/>
    </row>
    <row r="797" spans="14:19">
      <c r="N797" s="47"/>
      <c r="O797" s="48"/>
      <c r="P797" s="49"/>
      <c r="Q797" s="50"/>
      <c r="R797" s="51"/>
      <c r="S797" s="52"/>
    </row>
    <row r="798" spans="14:19">
      <c r="N798" s="47"/>
      <c r="O798" s="48"/>
      <c r="P798" s="49"/>
      <c r="Q798" s="50"/>
      <c r="R798" s="51"/>
      <c r="S798" s="52"/>
    </row>
    <row r="799" spans="14:19">
      <c r="N799" s="47"/>
      <c r="O799" s="48"/>
      <c r="P799" s="49"/>
      <c r="Q799" s="50"/>
      <c r="R799" s="51"/>
      <c r="S799" s="52"/>
    </row>
    <row r="800" spans="14:19">
      <c r="N800" s="47"/>
      <c r="O800" s="48"/>
      <c r="P800" s="49"/>
      <c r="Q800" s="50"/>
      <c r="R800" s="51"/>
      <c r="S800" s="52"/>
    </row>
    <row r="802" spans="14:19">
      <c r="N802" s="47"/>
      <c r="O802" s="48"/>
      <c r="P802" s="49"/>
      <c r="Q802" s="50"/>
      <c r="R802" s="51"/>
      <c r="S802" s="52"/>
    </row>
    <row r="803" spans="14:19">
      <c r="N803" s="47"/>
      <c r="O803" s="48"/>
      <c r="P803" s="49"/>
      <c r="Q803" s="50"/>
      <c r="R803" s="51"/>
      <c r="S803" s="52"/>
    </row>
    <row r="807" spans="14:19">
      <c r="N807" s="47"/>
      <c r="O807" s="48"/>
      <c r="P807" s="49"/>
      <c r="Q807" s="50"/>
      <c r="R807" s="51"/>
      <c r="S807" s="52"/>
    </row>
    <row r="809" spans="14:19">
      <c r="N809" s="47"/>
      <c r="O809" s="48"/>
      <c r="P809" s="49"/>
      <c r="Q809" s="50"/>
      <c r="R809" s="51"/>
      <c r="S809" s="52"/>
    </row>
    <row r="810" spans="14:19">
      <c r="N810" s="47"/>
      <c r="O810" s="48"/>
      <c r="P810" s="49"/>
      <c r="Q810" s="50"/>
      <c r="R810" s="51"/>
      <c r="S810" s="52"/>
    </row>
    <row r="811" spans="14:19">
      <c r="N811" s="47"/>
      <c r="O811" s="48"/>
      <c r="P811" s="49"/>
      <c r="Q811" s="50"/>
      <c r="R811" s="51"/>
      <c r="S811" s="52"/>
    </row>
    <row r="813" spans="14:19">
      <c r="N813" s="47"/>
      <c r="O813" s="48"/>
      <c r="P813" s="49"/>
      <c r="Q813" s="50"/>
      <c r="R813" s="51"/>
      <c r="S813" s="52"/>
    </row>
    <row r="815" spans="14:19">
      <c r="N815" s="47"/>
      <c r="O815" s="48"/>
      <c r="P815" s="49"/>
      <c r="Q815" s="50"/>
      <c r="R815" s="51"/>
      <c r="S815" s="52"/>
    </row>
    <row r="816" spans="14:19">
      <c r="N816" s="47"/>
      <c r="O816" s="48"/>
      <c r="P816" s="49"/>
      <c r="Q816" s="50"/>
      <c r="R816" s="51"/>
      <c r="S816" s="52"/>
    </row>
    <row r="821" spans="14:19">
      <c r="N821" s="47"/>
      <c r="O821" s="48"/>
      <c r="P821" s="49"/>
      <c r="Q821" s="50"/>
      <c r="R821" s="51"/>
      <c r="S821" s="52"/>
    </row>
    <row r="1009" spans="20:20">
      <c r="T1009" s="53"/>
    </row>
    <row r="1010" spans="20:20">
      <c r="T1010" s="53"/>
    </row>
    <row r="1011" spans="20:20">
      <c r="T1011" s="53"/>
    </row>
    <row r="1012" spans="20:20">
      <c r="T1012" s="53"/>
    </row>
    <row r="1013" spans="20:20">
      <c r="T1013" s="53"/>
    </row>
    <row r="1014" spans="20:20">
      <c r="T1014" s="53"/>
    </row>
    <row r="1015" spans="20:20">
      <c r="T1015" s="53"/>
    </row>
    <row r="1016" spans="20:20">
      <c r="T1016" s="53"/>
    </row>
    <row r="1017" spans="20:20">
      <c r="T1017" s="53"/>
    </row>
    <row r="1018" spans="20:20">
      <c r="T1018" s="53"/>
    </row>
    <row r="1019" spans="20:20">
      <c r="T1019" s="53"/>
    </row>
    <row r="1020" spans="20:20">
      <c r="T1020" s="53"/>
    </row>
    <row r="1021" spans="20:20">
      <c r="T1021" s="53"/>
    </row>
    <row r="1022" spans="20:20">
      <c r="T1022" s="53"/>
    </row>
    <row r="1023" spans="20:20">
      <c r="T1023" s="53"/>
    </row>
    <row r="1024" spans="20:20">
      <c r="T1024" s="53"/>
    </row>
    <row r="1025" spans="20:20">
      <c r="T1025" s="53"/>
    </row>
    <row r="1026" spans="20:20">
      <c r="T1026" s="53"/>
    </row>
    <row r="1027" spans="20:20">
      <c r="T1027" s="53"/>
    </row>
    <row r="1028" spans="20:20">
      <c r="T1028" s="53"/>
    </row>
    <row r="1029" spans="20:20">
      <c r="T1029" s="53"/>
    </row>
    <row r="1030" spans="20:20">
      <c r="T1030" s="53"/>
    </row>
    <row r="1031" spans="20:20">
      <c r="T1031" s="53"/>
    </row>
    <row r="1735" spans="14:19">
      <c r="N1735" s="54"/>
      <c r="O1735" s="55"/>
      <c r="P1735" s="56"/>
      <c r="Q1735" s="57"/>
      <c r="R1735" s="58"/>
      <c r="S1735" s="59"/>
    </row>
    <row r="1736" spans="14:19">
      <c r="N1736" s="54"/>
      <c r="O1736" s="55"/>
      <c r="P1736" s="56"/>
      <c r="Q1736" s="57"/>
      <c r="R1736" s="58"/>
      <c r="S1736" s="59"/>
    </row>
    <row r="1737" spans="14:19">
      <c r="N1737" s="54"/>
      <c r="O1737" s="55"/>
      <c r="P1737" s="56"/>
      <c r="Q1737" s="57"/>
      <c r="R1737" s="58"/>
      <c r="S1737" s="59"/>
    </row>
    <row r="1738" spans="14:19">
      <c r="N1738" s="54"/>
      <c r="O1738" s="55"/>
      <c r="P1738" s="56"/>
      <c r="Q1738" s="57"/>
      <c r="R1738" s="58"/>
      <c r="S1738" s="59"/>
    </row>
    <row r="1739" spans="14:19">
      <c r="N1739" s="54"/>
      <c r="O1739" s="55"/>
      <c r="P1739" s="56"/>
      <c r="Q1739" s="57"/>
      <c r="R1739" s="58"/>
      <c r="S1739" s="59"/>
    </row>
    <row r="1740" spans="14:19">
      <c r="N1740" s="54"/>
      <c r="O1740" s="55"/>
      <c r="P1740" s="56"/>
      <c r="Q1740" s="57"/>
      <c r="R1740" s="58"/>
      <c r="S1740" s="59"/>
    </row>
    <row r="1741" spans="14:19">
      <c r="N1741" s="54"/>
      <c r="O1741" s="55"/>
      <c r="P1741" s="56"/>
      <c r="Q1741" s="57"/>
      <c r="R1741" s="58"/>
      <c r="S1741" s="59"/>
    </row>
    <row r="1742" spans="14:19">
      <c r="N1742" s="54"/>
      <c r="O1742" s="55"/>
      <c r="P1742" s="56"/>
      <c r="Q1742" s="57"/>
      <c r="R1742" s="58"/>
      <c r="S1742" s="59"/>
    </row>
    <row r="1743" spans="14:19">
      <c r="N1743" s="54"/>
      <c r="O1743" s="55"/>
      <c r="P1743" s="56"/>
      <c r="Q1743" s="57"/>
      <c r="R1743" s="58"/>
      <c r="S1743" s="59"/>
    </row>
    <row r="1744" spans="14:19">
      <c r="N1744" s="54"/>
      <c r="O1744" s="55"/>
      <c r="P1744" s="56"/>
      <c r="Q1744" s="57"/>
      <c r="R1744" s="58"/>
      <c r="S1744" s="59"/>
    </row>
    <row r="1745" spans="14:19">
      <c r="N1745" s="54"/>
      <c r="O1745" s="55"/>
      <c r="P1745" s="56"/>
      <c r="Q1745" s="57"/>
      <c r="R1745" s="58"/>
      <c r="S1745" s="59"/>
    </row>
    <row r="1746" spans="14:19">
      <c r="N1746" s="54"/>
      <c r="O1746" s="55"/>
      <c r="P1746" s="56"/>
      <c r="Q1746" s="57"/>
      <c r="R1746" s="58"/>
      <c r="S1746" s="59"/>
    </row>
    <row r="1747" spans="14:19">
      <c r="N1747" s="54"/>
      <c r="O1747" s="55"/>
      <c r="P1747" s="56"/>
      <c r="Q1747" s="57"/>
      <c r="R1747" s="58"/>
      <c r="S1747" s="59"/>
    </row>
    <row r="1748" spans="14:19">
      <c r="N1748" s="54"/>
      <c r="O1748" s="55"/>
      <c r="P1748" s="56"/>
      <c r="Q1748" s="57"/>
      <c r="R1748" s="58"/>
      <c r="S1748" s="59"/>
    </row>
    <row r="1749" spans="14:19">
      <c r="N1749" s="54"/>
      <c r="O1749" s="55"/>
      <c r="P1749" s="56"/>
      <c r="Q1749" s="57"/>
      <c r="R1749" s="58"/>
      <c r="S1749" s="59"/>
    </row>
    <row r="1750" spans="14:19">
      <c r="N1750" s="54"/>
      <c r="O1750" s="55"/>
      <c r="P1750" s="56"/>
      <c r="Q1750" s="57"/>
      <c r="R1750" s="58"/>
      <c r="S1750" s="59"/>
    </row>
    <row r="1751" spans="14:19">
      <c r="N1751" s="54"/>
      <c r="O1751" s="55"/>
      <c r="P1751" s="56"/>
      <c r="Q1751" s="57"/>
      <c r="R1751" s="58"/>
      <c r="S1751" s="59"/>
    </row>
    <row r="1752" spans="14:19">
      <c r="N1752" s="54"/>
      <c r="O1752" s="55"/>
      <c r="P1752" s="56"/>
      <c r="Q1752" s="57"/>
      <c r="R1752" s="58"/>
      <c r="S1752" s="59"/>
    </row>
    <row r="1753" spans="14:19">
      <c r="N1753" s="54"/>
      <c r="O1753" s="55"/>
      <c r="P1753" s="56"/>
      <c r="Q1753" s="57"/>
      <c r="R1753" s="58"/>
      <c r="S1753" s="59"/>
    </row>
    <row r="1754" spans="14:19">
      <c r="N1754" s="54"/>
      <c r="O1754" s="55"/>
      <c r="P1754" s="56"/>
      <c r="Q1754" s="57"/>
      <c r="R1754" s="58"/>
      <c r="S1754" s="59"/>
    </row>
    <row r="1755" spans="14:19">
      <c r="N1755" s="54"/>
      <c r="O1755" s="55"/>
      <c r="P1755" s="56"/>
      <c r="Q1755" s="57"/>
      <c r="R1755" s="58"/>
      <c r="S1755" s="59"/>
    </row>
  </sheetData>
  <sortState ref="A2:AP304">
    <sortCondition ref="C2:C304"/>
    <sortCondition ref="D2:D304"/>
  </sortState>
  <conditionalFormatting sqref="J1:J5 J13: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7">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9">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8">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10:J1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C12"/>
  <sheetViews>
    <sheetView showGridLines="0" showRowColHeaders="0" workbookViewId="0">
      <selection activeCell="C6" sqref="C6"/>
    </sheetView>
  </sheetViews>
  <sheetFormatPr defaultRowHeight="15"/>
  <cols>
    <col min="2" max="2" width="4.85546875" bestFit="1" customWidth="1"/>
    <col min="3" max="3" width="12.140625" bestFit="1" customWidth="1"/>
  </cols>
  <sheetData>
    <row r="2" spans="2:3">
      <c r="B2" s="16" t="s">
        <v>58</v>
      </c>
      <c r="C2" t="s">
        <v>59</v>
      </c>
    </row>
    <row r="3" spans="2:3">
      <c r="B3" s="6" t="s">
        <v>60</v>
      </c>
      <c r="C3" t="s">
        <v>61</v>
      </c>
    </row>
    <row r="4" spans="2:3">
      <c r="B4" s="16" t="s">
        <v>62</v>
      </c>
      <c r="C4" t="s">
        <v>63</v>
      </c>
    </row>
    <row r="5" spans="2:3">
      <c r="B5" s="16" t="s">
        <v>64</v>
      </c>
      <c r="C5" t="s">
        <v>65</v>
      </c>
    </row>
    <row r="6" spans="2:3">
      <c r="B6" s="16" t="s">
        <v>66</v>
      </c>
      <c r="C6" t="s">
        <v>67</v>
      </c>
    </row>
    <row r="7" spans="2:3">
      <c r="B7" s="16" t="s">
        <v>68</v>
      </c>
      <c r="C7" t="s">
        <v>69</v>
      </c>
    </row>
    <row r="8" spans="2:3">
      <c r="B8" s="16" t="s">
        <v>70</v>
      </c>
      <c r="C8" t="s">
        <v>71</v>
      </c>
    </row>
    <row r="9" spans="2:3">
      <c r="B9" s="16" t="s">
        <v>72</v>
      </c>
      <c r="C9" t="s">
        <v>73</v>
      </c>
    </row>
    <row r="10" spans="2:3">
      <c r="B10" s="16" t="s">
        <v>74</v>
      </c>
      <c r="C10" t="s">
        <v>75</v>
      </c>
    </row>
    <row r="11" spans="2:3">
      <c r="B11" s="16" t="s">
        <v>76</v>
      </c>
      <c r="C11" t="s">
        <v>77</v>
      </c>
    </row>
    <row r="12" spans="2:3">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Chris</cp:lastModifiedBy>
  <dcterms:created xsi:type="dcterms:W3CDTF">2014-06-30T14:06:39Z</dcterms:created>
  <dcterms:modified xsi:type="dcterms:W3CDTF">2018-08-18T20:06:46Z</dcterms:modified>
</cp:coreProperties>
</file>